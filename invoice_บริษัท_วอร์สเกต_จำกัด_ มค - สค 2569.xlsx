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ORSGATE COMPANY\งานน้องแป้ง\Tohjeen\Tohjeen\โต๊ะจีน_แบบฟอร์ม\"/>
    </mc:Choice>
  </mc:AlternateContent>
  <xr:revisionPtr revIDLastSave="0" documentId="8_{41D13AA9-C807-4162-BE59-A1D23F65D7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รายงานใบแจ้งหนี้" sheetId="1" r:id="rId1"/>
  </sheets>
  <calcPr calcId="191029"/>
</workbook>
</file>

<file path=xl/calcChain.xml><?xml version="1.0" encoding="utf-8"?>
<calcChain xmlns="http://schemas.openxmlformats.org/spreadsheetml/2006/main">
  <c r="T45" i="1" l="1"/>
  <c r="S45" i="1"/>
  <c r="R45" i="1"/>
  <c r="Q45" i="1"/>
  <c r="P45" i="1"/>
</calcChain>
</file>

<file path=xl/sharedStrings.xml><?xml version="1.0" encoding="utf-8"?>
<sst xmlns="http://schemas.openxmlformats.org/spreadsheetml/2006/main" count="540" uniqueCount="116">
  <si>
    <t>ชื่อรายงาน : รายงานใบแจ้งหนี้</t>
  </si>
  <si>
    <t>ผู้ออกรายงาน : Admin by warsgate</t>
  </si>
  <si>
    <t>ชื่อผู้ประกอบการ : บริษัท วอร์สเกต จำกัด</t>
  </si>
  <si>
    <t>เลขประจำตัวผู้เสียภาษี : 0135564010972</t>
  </si>
  <si>
    <t>สาขา : สำนักงานใหญ่, 00000</t>
  </si>
  <si>
    <t>ที่อยู่ : หมู่บ้านพฤกษาวิลล์ 46/1 บ้านเลขที่50/8 หมู่ที่4 แขวง/ตำบลคลองสาม เขต/อำเภอคลองหลวง จังหวัดปทุมธานี</t>
  </si>
  <si>
    <t>วันที่ออกรายงาน : 30/08/2026 16:51:07</t>
  </si>
  <si>
    <t>ช่วงวันที่ : 01/01/2026-31/08/2026</t>
  </si>
  <si>
    <t>ประเภท : แสดงรายละเอียด</t>
  </si>
  <si>
    <t>ข้อมูลทั่วไป</t>
  </si>
  <si>
    <t>มูลค่ารวม (บาท)</t>
  </si>
  <si>
    <t>ลำดับที่</t>
  </si>
  <si>
    <t>เลขที่เอกสาร</t>
  </si>
  <si>
    <t>วันที่ออก</t>
  </si>
  <si>
    <t>วันที่ครบกำหนด</t>
  </si>
  <si>
    <t>อ้างอิง</t>
  </si>
  <si>
    <t>ชื่อลูกค้า</t>
  </si>
  <si>
    <t>เลขที่ 13 หลัก</t>
  </si>
  <si>
    <t>ชื่อสินค้า/บริการ</t>
  </si>
  <si>
    <t>จำนวน</t>
  </si>
  <si>
    <t>หน่วย</t>
  </si>
  <si>
    <t>ราคา</t>
  </si>
  <si>
    <t>มูลค่าก่อนภาษี</t>
  </si>
  <si>
    <t>ประเภทภาษี</t>
  </si>
  <si>
    <t>ยอด VAT</t>
  </si>
  <si>
    <t>หัก ณ ที่จ่าย</t>
  </si>
  <si>
    <t>ส่วนลดรวม</t>
  </si>
  <si>
    <t>VAT 7%</t>
  </si>
  <si>
    <t>ทั้งหมด</t>
  </si>
  <si>
    <t>ต้องชำระ</t>
  </si>
  <si>
    <t>INV-690800001</t>
  </si>
  <si>
    <t>22/08/2026</t>
  </si>
  <si>
    <t>29/08/2026</t>
  </si>
  <si>
    <t/>
  </si>
  <si>
    <t>บริษัท พีเอ็นพี เทคโนโลยี เกรท จำกัด</t>
  </si>
  <si>
    <t>0205555029622</t>
  </si>
  <si>
    <t>Treceability Corrugating Line</t>
  </si>
  <si>
    <t>1.00</t>
  </si>
  <si>
    <t>JOB</t>
  </si>
  <si>
    <t>502,501.32</t>
  </si>
  <si>
    <t>0.00</t>
  </si>
  <si>
    <t>7%</t>
  </si>
  <si>
    <t>Treceability Winding Line</t>
  </si>
  <si>
    <t>353,652.19</t>
  </si>
  <si>
    <t>Treceability Adhesive &amp; Spin Winding Line</t>
  </si>
  <si>
    <t>437,213.47</t>
  </si>
  <si>
    <t>Treceability DF4 Line</t>
  </si>
  <si>
    <t>601,530.07</t>
  </si>
  <si>
    <t>Treceability Packing Line</t>
  </si>
  <si>
    <t>276,598.14</t>
  </si>
  <si>
    <t>INV-690600005</t>
  </si>
  <si>
    <t>29/06/2026</t>
  </si>
  <si>
    <t>06/07/2026</t>
  </si>
  <si>
    <t>PO:2505005</t>
  </si>
  <si>
    <t>TRACEABILITY SOLINOID LINE1</t>
  </si>
  <si>
    <t>202,341.90</t>
  </si>
  <si>
    <t>Traceability Solenoid Line Software เพิ่มเติม</t>
  </si>
  <si>
    <t>15,000.00</t>
  </si>
  <si>
    <t>INV-690600004</t>
  </si>
  <si>
    <t>PO:2605002</t>
  </si>
  <si>
    <t>Standard and Feb Part</t>
  </si>
  <si>
    <t>SET</t>
  </si>
  <si>
    <t>128,200.00</t>
  </si>
  <si>
    <t>Manpower and labor cost</t>
  </si>
  <si>
    <t>44,000.00</t>
  </si>
  <si>
    <t>Transportation and accommodation</t>
  </si>
  <si>
    <t>9,000.00</t>
  </si>
  <si>
    <t>Project Management</t>
  </si>
  <si>
    <t>EA</t>
  </si>
  <si>
    <t>54,360.00</t>
  </si>
  <si>
    <t>INV-690600003</t>
  </si>
  <si>
    <t>PO: 2506001</t>
  </si>
  <si>
    <t>228,000.00</t>
  </si>
  <si>
    <t>134,000.00</t>
  </si>
  <si>
    <t>111,300.00</t>
  </si>
  <si>
    <t>INV-690600002</t>
  </si>
  <si>
    <t>19/06/2026</t>
  </si>
  <si>
    <t>27/06/2026</t>
  </si>
  <si>
    <t>PO: 2605001</t>
  </si>
  <si>
    <t>114,000.00</t>
  </si>
  <si>
    <t>67,000.00</t>
  </si>
  <si>
    <t>4,500.00</t>
  </si>
  <si>
    <t>55,650.00</t>
  </si>
  <si>
    <t>INV-690600001</t>
  </si>
  <si>
    <t xml:space="preserve">	 PO:2605002</t>
  </si>
  <si>
    <t>64,100.00</t>
  </si>
  <si>
    <t>22,000.00</t>
  </si>
  <si>
    <t>27,180.00</t>
  </si>
  <si>
    <t>INV-690400001</t>
  </si>
  <si>
    <t>29/04/2026</t>
  </si>
  <si>
    <t>06/05/2026</t>
  </si>
  <si>
    <t>2505005</t>
  </si>
  <si>
    <t>1,214,051.40</t>
  </si>
  <si>
    <t>90,000.00</t>
  </si>
  <si>
    <t>IV-690100001</t>
  </si>
  <si>
    <t>07/01/2026</t>
  </si>
  <si>
    <t>14/01/2026</t>
  </si>
  <si>
    <t>PO252155</t>
  </si>
  <si>
    <t>บริษัท ไทย เซกิซุย โฟม จำกัด</t>
  </si>
  <si>
    <t>0105539045865</t>
  </si>
  <si>
    <t>Station Stacker Foam</t>
  </si>
  <si>
    <t>0.40</t>
  </si>
  <si>
    <t>765,394.00</t>
  </si>
  <si>
    <t>40,000.00</t>
  </si>
  <si>
    <t>Station Open Bag &amp; Insert Foam</t>
  </si>
  <si>
    <t>650,215.00</t>
  </si>
  <si>
    <t>Station Pallet Stacker Foam</t>
  </si>
  <si>
    <t>690,391.00</t>
  </si>
  <si>
    <t>Contron Box System</t>
  </si>
  <si>
    <t>312,000.00</t>
  </si>
  <si>
    <t>575,000.00</t>
  </si>
  <si>
    <t>45,000.00</t>
  </si>
  <si>
    <t>Profit TSF1 Auto pack LM1</t>
  </si>
  <si>
    <t>607,600.00</t>
  </si>
  <si>
    <t>รวม</t>
  </si>
  <si>
    <t>PO:2505004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</si>
</sst>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sz val="12"/>
      <name val="Calibri"/>
    </font>
    <font>
      <u/>
      <sz val="12"/>
      <color rgb="FF0000FF"/>
      <name val="Calibri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AEAE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2" fillId="0" borderId="0">
      <alignment horizontal="center"/>
    </xf>
    <xf numFmtId="0" fontId="3" fillId="0" borderId="0">
      <alignment horizontal="left"/>
    </xf>
    <xf numFmtId="0" fontId="3" fillId="2" borderId="1">
      <alignment horizontal="center"/>
    </xf>
    <xf numFmtId="0" fontId="4" fillId="0" borderId="2">
      <alignment horizontal="center"/>
    </xf>
    <xf numFmtId="39" fontId="4" fillId="0" borderId="1">
      <alignment horizontal="right"/>
    </xf>
  </cellStyleXfs>
  <cellXfs count="27">
    <xf numFmtId="0" fontId="0" fillId="0" borderId="0" xfId="0"/>
    <xf numFmtId="0" fontId="3" fillId="0" borderId="0" xfId="3">
      <alignment horizontal="left"/>
    </xf>
    <xf numFmtId="0" fontId="3" fillId="2" borderId="1" xfId="4">
      <alignment horizontal="center"/>
    </xf>
    <xf numFmtId="0" fontId="4" fillId="0" borderId="2" xfId="5">
      <alignment horizontal="center"/>
    </xf>
    <xf numFmtId="0" fontId="5" fillId="0" borderId="2" xfId="5" applyFont="1">
      <alignment horizontal="center"/>
    </xf>
    <xf numFmtId="0" fontId="4" fillId="0" borderId="2" xfId="5" applyAlignment="1">
      <alignment horizontal="left"/>
    </xf>
    <xf numFmtId="0" fontId="4" fillId="0" borderId="2" xfId="5" applyAlignment="1">
      <alignment horizontal="right"/>
    </xf>
    <xf numFmtId="39" fontId="4" fillId="0" borderId="2" xfId="5" applyNumberFormat="1" applyAlignment="1">
      <alignment horizontal="right"/>
    </xf>
    <xf numFmtId="0" fontId="4" fillId="0" borderId="3" xfId="5" applyBorder="1">
      <alignment horizontal="center"/>
    </xf>
    <xf numFmtId="0" fontId="5" fillId="0" borderId="3" xfId="5" applyFont="1" applyBorder="1">
      <alignment horizontal="center"/>
    </xf>
    <xf numFmtId="0" fontId="4" fillId="0" borderId="3" xfId="5" applyBorder="1" applyAlignment="1">
      <alignment horizontal="left"/>
    </xf>
    <xf numFmtId="0" fontId="4" fillId="0" borderId="3" xfId="5" applyBorder="1" applyAlignment="1">
      <alignment horizontal="right"/>
    </xf>
    <xf numFmtId="39" fontId="4" fillId="0" borderId="3" xfId="5" applyNumberFormat="1" applyBorder="1" applyAlignment="1">
      <alignment horizontal="right"/>
    </xf>
    <xf numFmtId="0" fontId="4" fillId="3" borderId="2" xfId="5" applyFill="1">
      <alignment horizontal="center"/>
    </xf>
    <xf numFmtId="0" fontId="5" fillId="3" borderId="2" xfId="5" applyFont="1" applyFill="1">
      <alignment horizontal="center"/>
    </xf>
    <xf numFmtId="0" fontId="4" fillId="3" borderId="2" xfId="5" applyFill="1" applyAlignment="1">
      <alignment horizontal="left"/>
    </xf>
    <xf numFmtId="0" fontId="4" fillId="3" borderId="2" xfId="5" applyFill="1" applyAlignment="1">
      <alignment horizontal="right"/>
    </xf>
    <xf numFmtId="39" fontId="4" fillId="3" borderId="2" xfId="5" applyNumberFormat="1" applyFill="1" applyAlignment="1">
      <alignment horizontal="right"/>
    </xf>
    <xf numFmtId="0" fontId="4" fillId="3" borderId="3" xfId="5" applyFill="1" applyBorder="1">
      <alignment horizontal="center"/>
    </xf>
    <xf numFmtId="0" fontId="5" fillId="3" borderId="3" xfId="5" applyFont="1" applyFill="1" applyBorder="1">
      <alignment horizontal="center"/>
    </xf>
    <xf numFmtId="0" fontId="4" fillId="3" borderId="3" xfId="5" applyFill="1" applyBorder="1" applyAlignment="1">
      <alignment horizontal="left"/>
    </xf>
    <xf numFmtId="0" fontId="4" fillId="3" borderId="3" xfId="5" applyFill="1" applyBorder="1" applyAlignment="1">
      <alignment horizontal="right"/>
    </xf>
    <xf numFmtId="39" fontId="4" fillId="3" borderId="3" xfId="5" applyNumberFormat="1" applyFill="1" applyBorder="1" applyAlignment="1">
      <alignment horizontal="right"/>
    </xf>
    <xf numFmtId="39" fontId="3" fillId="2" borderId="1" xfId="6" applyFont="1" applyFill="1" applyAlignment="1">
      <alignment horizontal="center"/>
    </xf>
    <xf numFmtId="0" fontId="3" fillId="2" borderId="1" xfId="4">
      <alignment horizontal="center"/>
    </xf>
    <xf numFmtId="0" fontId="6" fillId="0" borderId="2" xfId="5" applyFont="1">
      <alignment horizontal="center"/>
    </xf>
    <xf numFmtId="39" fontId="4" fillId="4" borderId="1" xfId="6" applyFill="1">
      <alignment horizontal="right"/>
    </xf>
  </cellXfs>
  <cellStyles count="7">
    <cellStyle name="datailColumnTableStyle" xfId="5" xr:uid="{00000000-0005-0000-0000-000005000000}"/>
    <cellStyle name="defaultStyle" xfId="1" xr:uid="{00000000-0005-0000-0000-000001000000}"/>
    <cellStyle name="headerDetailNameStyle" xfId="3" xr:uid="{00000000-0005-0000-0000-000003000000}"/>
    <cellStyle name="headerNameStyle" xfId="2" xr:uid="{00000000-0005-0000-0000-000002000000}"/>
    <cellStyle name="headerTableStyle" xfId="4" xr:uid="{00000000-0005-0000-0000-000004000000}"/>
    <cellStyle name="summaryColumnTableStyle" xfId="6" xr:uid="{00000000-0005-0000-0000-000006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ure.peakaccount.com/income/invoiceDetail?emi=MTQxMzMx&amp;uuid=ae6bce47-2b15-4cbd-be6f-09a626716891" TargetMode="External"/><Relationship Id="rId13" Type="http://schemas.openxmlformats.org/officeDocument/2006/relationships/hyperlink" Target="https://secure.peakaccount.com/income/invoiceDetail?emi=MTQxMzMx&amp;uuid=dac69647-317b-407a-bd76-59b3cf7cd6f0" TargetMode="External"/><Relationship Id="rId18" Type="http://schemas.openxmlformats.org/officeDocument/2006/relationships/hyperlink" Target="https://secure.peakaccount.com/income/invoiceDetail?emi=MTQxMzMx&amp;uuid=552a52a7-cf48-4f97-b3f2-99842f107efc" TargetMode="External"/><Relationship Id="rId26" Type="http://schemas.openxmlformats.org/officeDocument/2006/relationships/hyperlink" Target="https://secure.peakaccount.com/income/invoiceDetail?emi=MTQxMzMx&amp;uuid=61b1197d-610b-402b-922e-e5f86e6b8899" TargetMode="External"/><Relationship Id="rId3" Type="http://schemas.openxmlformats.org/officeDocument/2006/relationships/hyperlink" Target="https://secure.peakaccount.com/income/invoiceDetail?emi=MTQxMzMx&amp;uuid=7d5a4a7b-33d6-4bd9-9f3a-5235f009e12d" TargetMode="External"/><Relationship Id="rId21" Type="http://schemas.openxmlformats.org/officeDocument/2006/relationships/hyperlink" Target="https://secure.peakaccount.com/income/invoiceDetail?emi=MTQxMzMx&amp;uuid=7186f292-21c7-4d66-b092-fac68cd29ba0" TargetMode="External"/><Relationship Id="rId7" Type="http://schemas.openxmlformats.org/officeDocument/2006/relationships/hyperlink" Target="https://secure.peakaccount.com/income/invoiceDetail?emi=MTQxMzMx&amp;uuid=6d2338ad-229e-42a0-af47-43c4f582e43b" TargetMode="External"/><Relationship Id="rId12" Type="http://schemas.openxmlformats.org/officeDocument/2006/relationships/hyperlink" Target="https://secure.peakaccount.com/income/invoiceDetail?emi=MTQxMzMx&amp;uuid=dac69647-317b-407a-bd76-59b3cf7cd6f0" TargetMode="External"/><Relationship Id="rId17" Type="http://schemas.openxmlformats.org/officeDocument/2006/relationships/hyperlink" Target="https://secure.peakaccount.com/income/invoiceDetail?emi=MTQxMzMx&amp;uuid=552a52a7-cf48-4f97-b3f2-99842f107efc" TargetMode="External"/><Relationship Id="rId25" Type="http://schemas.openxmlformats.org/officeDocument/2006/relationships/hyperlink" Target="https://secure.peakaccount.com/income/invoiceDetail?emi=MTQxMzMx&amp;uuid=ad5ae2f3-aea0-4ec1-95df-2d4466f7b2db" TargetMode="External"/><Relationship Id="rId2" Type="http://schemas.openxmlformats.org/officeDocument/2006/relationships/hyperlink" Target="https://secure.peakaccount.com/income/invoiceDetail?emi=MTQxMzMx&amp;uuid=7d5a4a7b-33d6-4bd9-9f3a-5235f009e12d" TargetMode="External"/><Relationship Id="rId16" Type="http://schemas.openxmlformats.org/officeDocument/2006/relationships/hyperlink" Target="https://secure.peakaccount.com/income/invoiceDetail?emi=MTQxMzMx&amp;uuid=552a52a7-cf48-4f97-b3f2-99842f107efc" TargetMode="External"/><Relationship Id="rId20" Type="http://schemas.openxmlformats.org/officeDocument/2006/relationships/hyperlink" Target="https://secure.peakaccount.com/income/invoiceDetail?emi=MTQxMzMx&amp;uuid=7186f292-21c7-4d66-b092-fac68cd29ba0" TargetMode="External"/><Relationship Id="rId29" Type="http://schemas.openxmlformats.org/officeDocument/2006/relationships/hyperlink" Target="https://secure.peakaccount.com/income/invoiceDetail?emi=MTQxMzMx&amp;uuid=61b1197d-610b-402b-922e-e5f86e6b8899" TargetMode="External"/><Relationship Id="rId1" Type="http://schemas.openxmlformats.org/officeDocument/2006/relationships/hyperlink" Target="https://secure.peakaccount.com/income/invoiceDetail?emi=MTQxMzMx&amp;uuid=7d5a4a7b-33d6-4bd9-9f3a-5235f009e12d" TargetMode="External"/><Relationship Id="rId6" Type="http://schemas.openxmlformats.org/officeDocument/2006/relationships/hyperlink" Target="https://secure.peakaccount.com/income/invoiceDetail?emi=MTQxMzMx&amp;uuid=6d2338ad-229e-42a0-af47-43c4f582e43b" TargetMode="External"/><Relationship Id="rId11" Type="http://schemas.openxmlformats.org/officeDocument/2006/relationships/hyperlink" Target="https://secure.peakaccount.com/income/invoiceDetail?emi=MTQxMzMx&amp;uuid=ae6bce47-2b15-4cbd-be6f-09a626716891" TargetMode="External"/><Relationship Id="rId24" Type="http://schemas.openxmlformats.org/officeDocument/2006/relationships/hyperlink" Target="https://secure.peakaccount.com/income/invoiceDetail?emi=MTQxMzMx&amp;uuid=ad5ae2f3-aea0-4ec1-95df-2d4466f7b2db" TargetMode="External"/><Relationship Id="rId32" Type="http://schemas.openxmlformats.org/officeDocument/2006/relationships/hyperlink" Target="https://secure.peakaccount.com/income/invoiceDetail?emi=MTQxMzMx&amp;uuid=61b1197d-610b-402b-922e-e5f86e6b8899" TargetMode="External"/><Relationship Id="rId5" Type="http://schemas.openxmlformats.org/officeDocument/2006/relationships/hyperlink" Target="https://secure.peakaccount.com/income/invoiceDetail?emi=MTQxMzMx&amp;uuid=7d5a4a7b-33d6-4bd9-9f3a-5235f009e12d" TargetMode="External"/><Relationship Id="rId15" Type="http://schemas.openxmlformats.org/officeDocument/2006/relationships/hyperlink" Target="https://secure.peakaccount.com/income/invoiceDetail?emi=MTQxMzMx&amp;uuid=dac69647-317b-407a-bd76-59b3cf7cd6f0" TargetMode="External"/><Relationship Id="rId23" Type="http://schemas.openxmlformats.org/officeDocument/2006/relationships/hyperlink" Target="https://secure.peakaccount.com/income/invoiceDetail?emi=MTQxMzMx&amp;uuid=7186f292-21c7-4d66-b092-fac68cd29ba0" TargetMode="External"/><Relationship Id="rId28" Type="http://schemas.openxmlformats.org/officeDocument/2006/relationships/hyperlink" Target="https://secure.peakaccount.com/income/invoiceDetail?emi=MTQxMzMx&amp;uuid=61b1197d-610b-402b-922e-e5f86e6b8899" TargetMode="External"/><Relationship Id="rId10" Type="http://schemas.openxmlformats.org/officeDocument/2006/relationships/hyperlink" Target="https://secure.peakaccount.com/income/invoiceDetail?emi=MTQxMzMx&amp;uuid=ae6bce47-2b15-4cbd-be6f-09a626716891" TargetMode="External"/><Relationship Id="rId19" Type="http://schemas.openxmlformats.org/officeDocument/2006/relationships/hyperlink" Target="https://secure.peakaccount.com/income/invoiceDetail?emi=MTQxMzMx&amp;uuid=552a52a7-cf48-4f97-b3f2-99842f107efc" TargetMode="External"/><Relationship Id="rId31" Type="http://schemas.openxmlformats.org/officeDocument/2006/relationships/hyperlink" Target="https://secure.peakaccount.com/income/invoiceDetail?emi=MTQxMzMx&amp;uuid=61b1197d-610b-402b-922e-e5f86e6b8899" TargetMode="External"/><Relationship Id="rId4" Type="http://schemas.openxmlformats.org/officeDocument/2006/relationships/hyperlink" Target="https://secure.peakaccount.com/income/invoiceDetail?emi=MTQxMzMx&amp;uuid=7d5a4a7b-33d6-4bd9-9f3a-5235f009e12d" TargetMode="External"/><Relationship Id="rId9" Type="http://schemas.openxmlformats.org/officeDocument/2006/relationships/hyperlink" Target="https://secure.peakaccount.com/income/invoiceDetail?emi=MTQxMzMx&amp;uuid=ae6bce47-2b15-4cbd-be6f-09a626716891" TargetMode="External"/><Relationship Id="rId14" Type="http://schemas.openxmlformats.org/officeDocument/2006/relationships/hyperlink" Target="https://secure.peakaccount.com/income/invoiceDetail?emi=MTQxMzMx&amp;uuid=dac69647-317b-407a-bd76-59b3cf7cd6f0" TargetMode="External"/><Relationship Id="rId22" Type="http://schemas.openxmlformats.org/officeDocument/2006/relationships/hyperlink" Target="https://secure.peakaccount.com/income/invoiceDetail?emi=MTQxMzMx&amp;uuid=7186f292-21c7-4d66-b092-fac68cd29ba0" TargetMode="External"/><Relationship Id="rId27" Type="http://schemas.openxmlformats.org/officeDocument/2006/relationships/hyperlink" Target="https://secure.peakaccount.com/income/invoiceDetail?emi=MTQxMzMx&amp;uuid=61b1197d-610b-402b-922e-e5f86e6b8899" TargetMode="External"/><Relationship Id="rId30" Type="http://schemas.openxmlformats.org/officeDocument/2006/relationships/hyperlink" Target="https://secure.peakaccount.com/income/invoiceDetail?emi=MTQxMzMx&amp;uuid=61b1197d-610b-402b-922e-e5f86e6b8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showGridLines="0" tabSelected="1" topLeftCell="F1" workbookViewId="0">
      <selection activeCell="L24" sqref="L24"/>
    </sheetView>
  </sheetViews>
  <sheetFormatPr defaultRowHeight="15" x14ac:dyDescent="0.25"/>
  <cols>
    <col min="1" max="1" width="10" customWidth="1"/>
    <col min="2" max="2" width="20" customWidth="1"/>
    <col min="3" max="4" width="15" customWidth="1"/>
    <col min="5" max="5" width="17.85546875" customWidth="1"/>
    <col min="6" max="6" width="30" customWidth="1"/>
    <col min="7" max="7" width="15" customWidth="1"/>
    <col min="8" max="8" width="20" customWidth="1"/>
    <col min="9" max="10" width="10" customWidth="1"/>
    <col min="11" max="20" width="15" customWidth="1"/>
  </cols>
  <sheetData>
    <row r="1" spans="1:20" ht="15.75" x14ac:dyDescent="0.25">
      <c r="A1" s="1" t="s">
        <v>0</v>
      </c>
    </row>
    <row r="2" spans="1:20" ht="15.75" x14ac:dyDescent="0.25">
      <c r="A2" s="1" t="s">
        <v>1</v>
      </c>
    </row>
    <row r="3" spans="1:20" ht="15.75" x14ac:dyDescent="0.25">
      <c r="A3" s="1" t="s">
        <v>2</v>
      </c>
    </row>
    <row r="4" spans="1:20" ht="15.75" x14ac:dyDescent="0.25">
      <c r="A4" s="1" t="s">
        <v>3</v>
      </c>
    </row>
    <row r="5" spans="1:20" ht="15.75" x14ac:dyDescent="0.25">
      <c r="A5" s="1" t="s">
        <v>4</v>
      </c>
    </row>
    <row r="6" spans="1:20" ht="15.75" x14ac:dyDescent="0.25">
      <c r="A6" s="1" t="s">
        <v>5</v>
      </c>
    </row>
    <row r="7" spans="1:20" ht="15.75" x14ac:dyDescent="0.25">
      <c r="A7" s="1" t="s">
        <v>6</v>
      </c>
    </row>
    <row r="8" spans="1:20" ht="15.75" x14ac:dyDescent="0.25">
      <c r="A8" s="1" t="s">
        <v>7</v>
      </c>
    </row>
    <row r="9" spans="1:20" ht="15.75" x14ac:dyDescent="0.25">
      <c r="A9" s="1" t="s">
        <v>8</v>
      </c>
    </row>
    <row r="11" spans="1:20" ht="16.5" thickBot="1" x14ac:dyDescent="0.3">
      <c r="A11" s="24" t="s">
        <v>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 t="s">
        <v>10</v>
      </c>
      <c r="P11" s="24"/>
      <c r="Q11" s="24"/>
      <c r="R11" s="24"/>
      <c r="S11" s="24"/>
      <c r="T11" s="24"/>
    </row>
    <row r="12" spans="1:20" ht="16.5" thickBot="1" x14ac:dyDescent="0.3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23</v>
      </c>
      <c r="N12" s="2" t="s">
        <v>24</v>
      </c>
      <c r="O12" s="2" t="s">
        <v>26</v>
      </c>
      <c r="P12" s="2" t="s">
        <v>27</v>
      </c>
      <c r="Q12" s="2" t="s">
        <v>24</v>
      </c>
      <c r="R12" s="2" t="s">
        <v>28</v>
      </c>
      <c r="S12" s="2" t="s">
        <v>25</v>
      </c>
      <c r="T12" s="2" t="s">
        <v>29</v>
      </c>
    </row>
    <row r="13" spans="1:20" ht="15.75" x14ac:dyDescent="0.25">
      <c r="A13" s="3">
        <v>1</v>
      </c>
      <c r="B13" s="4" t="s">
        <v>30</v>
      </c>
      <c r="C13" s="3" t="s">
        <v>31</v>
      </c>
      <c r="D13" s="3" t="s">
        <v>32</v>
      </c>
      <c r="E13" s="25" t="s">
        <v>115</v>
      </c>
      <c r="F13" s="5" t="s">
        <v>34</v>
      </c>
      <c r="G13" s="3" t="s">
        <v>35</v>
      </c>
      <c r="H13" s="5" t="s">
        <v>36</v>
      </c>
      <c r="I13" s="6" t="s">
        <v>37</v>
      </c>
      <c r="J13" s="3" t="s">
        <v>38</v>
      </c>
      <c r="K13" s="6" t="s">
        <v>39</v>
      </c>
      <c r="L13" s="7">
        <v>502501.32</v>
      </c>
      <c r="M13" s="3" t="s">
        <v>41</v>
      </c>
      <c r="N13" s="7">
        <v>35175.089999999997</v>
      </c>
      <c r="O13" s="3" t="s">
        <v>40</v>
      </c>
      <c r="P13" s="7">
        <v>2171495.19</v>
      </c>
      <c r="Q13" s="7">
        <v>152004.66</v>
      </c>
      <c r="R13" s="7">
        <v>2323499.85</v>
      </c>
      <c r="S13" s="7">
        <v>0</v>
      </c>
      <c r="T13" s="7">
        <v>2323499.85</v>
      </c>
    </row>
    <row r="14" spans="1:20" ht="15.75" x14ac:dyDescent="0.25">
      <c r="A14" s="3">
        <v>1</v>
      </c>
      <c r="B14" s="4" t="s">
        <v>30</v>
      </c>
      <c r="C14" s="3" t="s">
        <v>31</v>
      </c>
      <c r="D14" s="3" t="s">
        <v>32</v>
      </c>
      <c r="E14" s="25" t="s">
        <v>115</v>
      </c>
      <c r="F14" s="5" t="s">
        <v>34</v>
      </c>
      <c r="G14" s="3" t="s">
        <v>35</v>
      </c>
      <c r="H14" s="5" t="s">
        <v>42</v>
      </c>
      <c r="I14" s="6" t="s">
        <v>37</v>
      </c>
      <c r="J14" s="3" t="s">
        <v>38</v>
      </c>
      <c r="K14" s="6" t="s">
        <v>43</v>
      </c>
      <c r="L14" s="7">
        <v>353652.19</v>
      </c>
      <c r="M14" s="3" t="s">
        <v>41</v>
      </c>
      <c r="N14" s="7">
        <v>24755.65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 t="s">
        <v>33</v>
      </c>
    </row>
    <row r="15" spans="1:20" ht="15.75" x14ac:dyDescent="0.25">
      <c r="A15" s="3">
        <v>1</v>
      </c>
      <c r="B15" s="4" t="s">
        <v>30</v>
      </c>
      <c r="C15" s="3" t="s">
        <v>31</v>
      </c>
      <c r="D15" s="3" t="s">
        <v>32</v>
      </c>
      <c r="E15" s="25" t="s">
        <v>115</v>
      </c>
      <c r="F15" s="5" t="s">
        <v>34</v>
      </c>
      <c r="G15" s="3" t="s">
        <v>35</v>
      </c>
      <c r="H15" s="5" t="s">
        <v>44</v>
      </c>
      <c r="I15" s="6" t="s">
        <v>37</v>
      </c>
      <c r="J15" s="3" t="s">
        <v>38</v>
      </c>
      <c r="K15" s="6" t="s">
        <v>45</v>
      </c>
      <c r="L15" s="7">
        <v>437213.47</v>
      </c>
      <c r="M15" s="3" t="s">
        <v>41</v>
      </c>
      <c r="N15" s="7">
        <v>30604.94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 t="s">
        <v>33</v>
      </c>
    </row>
    <row r="16" spans="1:20" ht="15.75" x14ac:dyDescent="0.25">
      <c r="A16" s="3">
        <v>1</v>
      </c>
      <c r="B16" s="4" t="s">
        <v>30</v>
      </c>
      <c r="C16" s="3" t="s">
        <v>31</v>
      </c>
      <c r="D16" s="3" t="s">
        <v>32</v>
      </c>
      <c r="E16" s="25" t="s">
        <v>115</v>
      </c>
      <c r="F16" s="5" t="s">
        <v>34</v>
      </c>
      <c r="G16" s="3" t="s">
        <v>35</v>
      </c>
      <c r="H16" s="5" t="s">
        <v>46</v>
      </c>
      <c r="I16" s="6" t="s">
        <v>37</v>
      </c>
      <c r="J16" s="3" t="s">
        <v>38</v>
      </c>
      <c r="K16" s="6" t="s">
        <v>47</v>
      </c>
      <c r="L16" s="7">
        <v>601530.06999999995</v>
      </c>
      <c r="M16" s="3" t="s">
        <v>41</v>
      </c>
      <c r="N16" s="7">
        <v>42107.1</v>
      </c>
      <c r="O16" s="3" t="s">
        <v>33</v>
      </c>
      <c r="P16" s="3" t="s">
        <v>33</v>
      </c>
      <c r="Q16" s="3" t="s">
        <v>33</v>
      </c>
      <c r="R16" s="3" t="s">
        <v>33</v>
      </c>
      <c r="S16" s="3" t="s">
        <v>33</v>
      </c>
      <c r="T16" s="3" t="s">
        <v>33</v>
      </c>
    </row>
    <row r="17" spans="1:20" ht="16.5" thickBot="1" x14ac:dyDescent="0.3">
      <c r="A17" s="8">
        <v>1</v>
      </c>
      <c r="B17" s="9" t="s">
        <v>30</v>
      </c>
      <c r="C17" s="8" t="s">
        <v>31</v>
      </c>
      <c r="D17" s="8" t="s">
        <v>32</v>
      </c>
      <c r="E17" s="25" t="s">
        <v>115</v>
      </c>
      <c r="F17" s="10" t="s">
        <v>34</v>
      </c>
      <c r="G17" s="8" t="s">
        <v>35</v>
      </c>
      <c r="H17" s="10" t="s">
        <v>48</v>
      </c>
      <c r="I17" s="11" t="s">
        <v>37</v>
      </c>
      <c r="J17" s="8" t="s">
        <v>38</v>
      </c>
      <c r="K17" s="11" t="s">
        <v>49</v>
      </c>
      <c r="L17" s="12">
        <v>276598.14</v>
      </c>
      <c r="M17" s="8" t="s">
        <v>41</v>
      </c>
      <c r="N17" s="12">
        <v>19361.87</v>
      </c>
      <c r="O17" s="8" t="s">
        <v>33</v>
      </c>
      <c r="P17" s="8" t="s">
        <v>33</v>
      </c>
      <c r="Q17" s="8" t="s">
        <v>33</v>
      </c>
      <c r="R17" s="8" t="s">
        <v>33</v>
      </c>
      <c r="S17" s="8" t="s">
        <v>33</v>
      </c>
      <c r="T17" s="8" t="s">
        <v>33</v>
      </c>
    </row>
    <row r="18" spans="1:20" ht="15.75" x14ac:dyDescent="0.25">
      <c r="A18" s="13">
        <v>2</v>
      </c>
      <c r="B18" s="14" t="s">
        <v>50</v>
      </c>
      <c r="C18" s="13" t="s">
        <v>51</v>
      </c>
      <c r="D18" s="13" t="s">
        <v>52</v>
      </c>
      <c r="E18" s="13" t="s">
        <v>53</v>
      </c>
      <c r="F18" s="15" t="s">
        <v>34</v>
      </c>
      <c r="G18" s="13" t="s">
        <v>35</v>
      </c>
      <c r="H18" s="15" t="s">
        <v>54</v>
      </c>
      <c r="I18" s="16" t="s">
        <v>37</v>
      </c>
      <c r="J18" s="13" t="s">
        <v>38</v>
      </c>
      <c r="K18" s="16" t="s">
        <v>55</v>
      </c>
      <c r="L18" s="17">
        <v>202341.9</v>
      </c>
      <c r="M18" s="13" t="s">
        <v>41</v>
      </c>
      <c r="N18" s="17">
        <v>14163.93</v>
      </c>
      <c r="O18" s="13" t="s">
        <v>40</v>
      </c>
      <c r="P18" s="17">
        <v>217341.9</v>
      </c>
      <c r="Q18" s="17">
        <v>15213.93</v>
      </c>
      <c r="R18" s="17">
        <v>232555.83</v>
      </c>
      <c r="S18" s="17">
        <v>0</v>
      </c>
      <c r="T18" s="17">
        <v>232555.83</v>
      </c>
    </row>
    <row r="19" spans="1:20" ht="16.5" thickBot="1" x14ac:dyDescent="0.3">
      <c r="A19" s="18">
        <v>2</v>
      </c>
      <c r="B19" s="19" t="s">
        <v>50</v>
      </c>
      <c r="C19" s="18" t="s">
        <v>51</v>
      </c>
      <c r="D19" s="18" t="s">
        <v>52</v>
      </c>
      <c r="E19" s="18" t="s">
        <v>53</v>
      </c>
      <c r="F19" s="20" t="s">
        <v>34</v>
      </c>
      <c r="G19" s="18" t="s">
        <v>35</v>
      </c>
      <c r="H19" s="20" t="s">
        <v>56</v>
      </c>
      <c r="I19" s="21" t="s">
        <v>37</v>
      </c>
      <c r="J19" s="18" t="s">
        <v>38</v>
      </c>
      <c r="K19" s="21" t="s">
        <v>57</v>
      </c>
      <c r="L19" s="22">
        <v>15000</v>
      </c>
      <c r="M19" s="18" t="s">
        <v>41</v>
      </c>
      <c r="N19" s="22">
        <v>1050</v>
      </c>
      <c r="O19" s="18" t="s">
        <v>33</v>
      </c>
      <c r="P19" s="18" t="s">
        <v>33</v>
      </c>
      <c r="Q19" s="18" t="s">
        <v>33</v>
      </c>
      <c r="R19" s="18" t="s">
        <v>33</v>
      </c>
      <c r="S19" s="18" t="s">
        <v>33</v>
      </c>
      <c r="T19" s="18" t="s">
        <v>33</v>
      </c>
    </row>
    <row r="20" spans="1:20" ht="15.75" x14ac:dyDescent="0.25">
      <c r="A20" s="3">
        <v>3</v>
      </c>
      <c r="B20" s="4" t="s">
        <v>58</v>
      </c>
      <c r="C20" s="3" t="s">
        <v>51</v>
      </c>
      <c r="D20" s="3" t="s">
        <v>52</v>
      </c>
      <c r="E20" s="3" t="s">
        <v>59</v>
      </c>
      <c r="F20" s="5" t="s">
        <v>34</v>
      </c>
      <c r="G20" s="3" t="s">
        <v>35</v>
      </c>
      <c r="H20" s="5" t="s">
        <v>60</v>
      </c>
      <c r="I20" s="6" t="s">
        <v>37</v>
      </c>
      <c r="J20" s="3" t="s">
        <v>61</v>
      </c>
      <c r="K20" s="6" t="s">
        <v>62</v>
      </c>
      <c r="L20" s="7">
        <v>128200</v>
      </c>
      <c r="M20" s="3" t="s">
        <v>41</v>
      </c>
      <c r="N20" s="7">
        <v>8974</v>
      </c>
      <c r="O20" s="3" t="s">
        <v>40</v>
      </c>
      <c r="P20" s="7">
        <v>235560</v>
      </c>
      <c r="Q20" s="7">
        <v>16489.2</v>
      </c>
      <c r="R20" s="7">
        <v>252049.2</v>
      </c>
      <c r="S20" s="7">
        <v>0</v>
      </c>
      <c r="T20" s="7">
        <v>252049.2</v>
      </c>
    </row>
    <row r="21" spans="1:20" ht="15.75" x14ac:dyDescent="0.25">
      <c r="A21" s="3">
        <v>3</v>
      </c>
      <c r="B21" s="4" t="s">
        <v>58</v>
      </c>
      <c r="C21" s="3" t="s">
        <v>51</v>
      </c>
      <c r="D21" s="3" t="s">
        <v>52</v>
      </c>
      <c r="E21" s="3" t="s">
        <v>59</v>
      </c>
      <c r="F21" s="5" t="s">
        <v>34</v>
      </c>
      <c r="G21" s="3" t="s">
        <v>35</v>
      </c>
      <c r="H21" s="5" t="s">
        <v>63</v>
      </c>
      <c r="I21" s="6" t="s">
        <v>37</v>
      </c>
      <c r="J21" s="3" t="s">
        <v>38</v>
      </c>
      <c r="K21" s="6" t="s">
        <v>64</v>
      </c>
      <c r="L21" s="7">
        <v>44000</v>
      </c>
      <c r="M21" s="3" t="s">
        <v>41</v>
      </c>
      <c r="N21" s="7">
        <v>3080</v>
      </c>
      <c r="O21" s="3" t="s">
        <v>33</v>
      </c>
      <c r="P21" s="3" t="s">
        <v>33</v>
      </c>
      <c r="Q21" s="3" t="s">
        <v>33</v>
      </c>
      <c r="R21" s="3" t="s">
        <v>33</v>
      </c>
      <c r="S21" s="3" t="s">
        <v>33</v>
      </c>
      <c r="T21" s="3" t="s">
        <v>33</v>
      </c>
    </row>
    <row r="22" spans="1:20" ht="15.75" x14ac:dyDescent="0.25">
      <c r="A22" s="3">
        <v>3</v>
      </c>
      <c r="B22" s="4" t="s">
        <v>58</v>
      </c>
      <c r="C22" s="3" t="s">
        <v>51</v>
      </c>
      <c r="D22" s="3" t="s">
        <v>52</v>
      </c>
      <c r="E22" s="3" t="s">
        <v>59</v>
      </c>
      <c r="F22" s="5" t="s">
        <v>34</v>
      </c>
      <c r="G22" s="3" t="s">
        <v>35</v>
      </c>
      <c r="H22" s="5" t="s">
        <v>65</v>
      </c>
      <c r="I22" s="6" t="s">
        <v>37</v>
      </c>
      <c r="J22" s="3" t="s">
        <v>38</v>
      </c>
      <c r="K22" s="6" t="s">
        <v>66</v>
      </c>
      <c r="L22" s="7">
        <v>9000</v>
      </c>
      <c r="M22" s="3" t="s">
        <v>41</v>
      </c>
      <c r="N22" s="7">
        <v>630</v>
      </c>
      <c r="O22" s="3" t="s">
        <v>33</v>
      </c>
      <c r="P22" s="3" t="s">
        <v>33</v>
      </c>
      <c r="Q22" s="3" t="s">
        <v>33</v>
      </c>
      <c r="R22" s="3" t="s">
        <v>33</v>
      </c>
      <c r="S22" s="3" t="s">
        <v>33</v>
      </c>
      <c r="T22" s="3" t="s">
        <v>33</v>
      </c>
    </row>
    <row r="23" spans="1:20" ht="16.5" thickBot="1" x14ac:dyDescent="0.3">
      <c r="A23" s="8">
        <v>3</v>
      </c>
      <c r="B23" s="9" t="s">
        <v>58</v>
      </c>
      <c r="C23" s="8" t="s">
        <v>51</v>
      </c>
      <c r="D23" s="8" t="s">
        <v>52</v>
      </c>
      <c r="E23" s="8" t="s">
        <v>59</v>
      </c>
      <c r="F23" s="10" t="s">
        <v>34</v>
      </c>
      <c r="G23" s="8" t="s">
        <v>35</v>
      </c>
      <c r="H23" s="10" t="s">
        <v>67</v>
      </c>
      <c r="I23" s="11" t="s">
        <v>37</v>
      </c>
      <c r="J23" s="8" t="s">
        <v>68</v>
      </c>
      <c r="K23" s="11" t="s">
        <v>69</v>
      </c>
      <c r="L23" s="12">
        <v>54360</v>
      </c>
      <c r="M23" s="8" t="s">
        <v>41</v>
      </c>
      <c r="N23" s="12">
        <v>3805.2</v>
      </c>
      <c r="O23" s="8" t="s">
        <v>33</v>
      </c>
      <c r="P23" s="8" t="s">
        <v>33</v>
      </c>
      <c r="Q23" s="8" t="s">
        <v>33</v>
      </c>
      <c r="R23" s="8" t="s">
        <v>33</v>
      </c>
      <c r="S23" s="8" t="s">
        <v>33</v>
      </c>
      <c r="T23" s="8" t="s">
        <v>33</v>
      </c>
    </row>
    <row r="24" spans="1:20" ht="15.75" x14ac:dyDescent="0.25">
      <c r="A24" s="13">
        <v>4</v>
      </c>
      <c r="B24" s="14" t="s">
        <v>70</v>
      </c>
      <c r="C24" s="13" t="s">
        <v>51</v>
      </c>
      <c r="D24" s="13" t="s">
        <v>52</v>
      </c>
      <c r="E24" s="13" t="s">
        <v>71</v>
      </c>
      <c r="F24" s="15" t="s">
        <v>34</v>
      </c>
      <c r="G24" s="13" t="s">
        <v>35</v>
      </c>
      <c r="H24" s="15" t="s">
        <v>60</v>
      </c>
      <c r="I24" s="16" t="s">
        <v>37</v>
      </c>
      <c r="J24" s="13" t="s">
        <v>61</v>
      </c>
      <c r="K24" s="16" t="s">
        <v>72</v>
      </c>
      <c r="L24" s="17">
        <v>228000</v>
      </c>
      <c r="M24" s="13" t="s">
        <v>41</v>
      </c>
      <c r="N24" s="17">
        <v>15960</v>
      </c>
      <c r="O24" s="13" t="s">
        <v>40</v>
      </c>
      <c r="P24" s="17">
        <v>482300</v>
      </c>
      <c r="Q24" s="17">
        <v>33761</v>
      </c>
      <c r="R24" s="17">
        <v>516061</v>
      </c>
      <c r="S24" s="17">
        <v>0</v>
      </c>
      <c r="T24" s="17">
        <v>516061</v>
      </c>
    </row>
    <row r="25" spans="1:20" ht="15.75" x14ac:dyDescent="0.25">
      <c r="A25" s="13">
        <v>4</v>
      </c>
      <c r="B25" s="14" t="s">
        <v>70</v>
      </c>
      <c r="C25" s="13" t="s">
        <v>51</v>
      </c>
      <c r="D25" s="13" t="s">
        <v>52</v>
      </c>
      <c r="E25" s="13" t="s">
        <v>71</v>
      </c>
      <c r="F25" s="15" t="s">
        <v>34</v>
      </c>
      <c r="G25" s="13" t="s">
        <v>35</v>
      </c>
      <c r="H25" s="15" t="s">
        <v>63</v>
      </c>
      <c r="I25" s="16" t="s">
        <v>37</v>
      </c>
      <c r="J25" s="13" t="s">
        <v>38</v>
      </c>
      <c r="K25" s="16" t="s">
        <v>73</v>
      </c>
      <c r="L25" s="17">
        <v>134000</v>
      </c>
      <c r="M25" s="13" t="s">
        <v>41</v>
      </c>
      <c r="N25" s="17">
        <v>9380</v>
      </c>
      <c r="O25" s="13" t="s">
        <v>33</v>
      </c>
      <c r="P25" s="13" t="s">
        <v>33</v>
      </c>
      <c r="Q25" s="13" t="s">
        <v>33</v>
      </c>
      <c r="R25" s="13" t="s">
        <v>33</v>
      </c>
      <c r="S25" s="13" t="s">
        <v>33</v>
      </c>
      <c r="T25" s="13" t="s">
        <v>33</v>
      </c>
    </row>
    <row r="26" spans="1:20" ht="15.75" x14ac:dyDescent="0.25">
      <c r="A26" s="13">
        <v>4</v>
      </c>
      <c r="B26" s="14" t="s">
        <v>70</v>
      </c>
      <c r="C26" s="13" t="s">
        <v>51</v>
      </c>
      <c r="D26" s="13" t="s">
        <v>52</v>
      </c>
      <c r="E26" s="13" t="s">
        <v>71</v>
      </c>
      <c r="F26" s="15" t="s">
        <v>34</v>
      </c>
      <c r="G26" s="13" t="s">
        <v>35</v>
      </c>
      <c r="H26" s="15" t="s">
        <v>65</v>
      </c>
      <c r="I26" s="16" t="s">
        <v>37</v>
      </c>
      <c r="J26" s="13" t="s">
        <v>38</v>
      </c>
      <c r="K26" s="16" t="s">
        <v>66</v>
      </c>
      <c r="L26" s="17">
        <v>9000</v>
      </c>
      <c r="M26" s="13" t="s">
        <v>41</v>
      </c>
      <c r="N26" s="17">
        <v>630</v>
      </c>
      <c r="O26" s="13" t="s">
        <v>33</v>
      </c>
      <c r="P26" s="13" t="s">
        <v>33</v>
      </c>
      <c r="Q26" s="13" t="s">
        <v>33</v>
      </c>
      <c r="R26" s="13" t="s">
        <v>33</v>
      </c>
      <c r="S26" s="13" t="s">
        <v>33</v>
      </c>
      <c r="T26" s="13" t="s">
        <v>33</v>
      </c>
    </row>
    <row r="27" spans="1:20" ht="16.5" thickBot="1" x14ac:dyDescent="0.3">
      <c r="A27" s="18">
        <v>4</v>
      </c>
      <c r="B27" s="19" t="s">
        <v>70</v>
      </c>
      <c r="C27" s="18" t="s">
        <v>51</v>
      </c>
      <c r="D27" s="18" t="s">
        <v>52</v>
      </c>
      <c r="E27" s="18" t="s">
        <v>71</v>
      </c>
      <c r="F27" s="20" t="s">
        <v>34</v>
      </c>
      <c r="G27" s="18" t="s">
        <v>35</v>
      </c>
      <c r="H27" s="20" t="s">
        <v>67</v>
      </c>
      <c r="I27" s="21" t="s">
        <v>37</v>
      </c>
      <c r="J27" s="18" t="s">
        <v>68</v>
      </c>
      <c r="K27" s="21" t="s">
        <v>74</v>
      </c>
      <c r="L27" s="22">
        <v>111300</v>
      </c>
      <c r="M27" s="18" t="s">
        <v>41</v>
      </c>
      <c r="N27" s="22">
        <v>7791</v>
      </c>
      <c r="O27" s="18" t="s">
        <v>33</v>
      </c>
      <c r="P27" s="18" t="s">
        <v>33</v>
      </c>
      <c r="Q27" s="18" t="s">
        <v>33</v>
      </c>
      <c r="R27" s="18" t="s">
        <v>33</v>
      </c>
      <c r="S27" s="18" t="s">
        <v>33</v>
      </c>
      <c r="T27" s="18" t="s">
        <v>33</v>
      </c>
    </row>
    <row r="28" spans="1:20" ht="15.75" x14ac:dyDescent="0.25">
      <c r="A28" s="3">
        <v>5</v>
      </c>
      <c r="B28" s="4" t="s">
        <v>75</v>
      </c>
      <c r="C28" s="3" t="s">
        <v>76</v>
      </c>
      <c r="D28" s="3" t="s">
        <v>77</v>
      </c>
      <c r="E28" s="3" t="s">
        <v>78</v>
      </c>
      <c r="F28" s="5" t="s">
        <v>34</v>
      </c>
      <c r="G28" s="3" t="s">
        <v>35</v>
      </c>
      <c r="H28" s="5" t="s">
        <v>60</v>
      </c>
      <c r="I28" s="6" t="s">
        <v>37</v>
      </c>
      <c r="J28" s="3" t="s">
        <v>61</v>
      </c>
      <c r="K28" s="6" t="s">
        <v>79</v>
      </c>
      <c r="L28" s="7">
        <v>114000</v>
      </c>
      <c r="M28" s="3" t="s">
        <v>41</v>
      </c>
      <c r="N28" s="7">
        <v>7980</v>
      </c>
      <c r="O28" s="3" t="s">
        <v>40</v>
      </c>
      <c r="P28" s="7">
        <v>241150</v>
      </c>
      <c r="Q28" s="7">
        <v>16880.5</v>
      </c>
      <c r="R28" s="7">
        <v>258030.5</v>
      </c>
      <c r="S28" s="7">
        <v>0</v>
      </c>
      <c r="T28" s="7">
        <v>258030.5</v>
      </c>
    </row>
    <row r="29" spans="1:20" ht="15.75" x14ac:dyDescent="0.25">
      <c r="A29" s="3">
        <v>5</v>
      </c>
      <c r="B29" s="4" t="s">
        <v>75</v>
      </c>
      <c r="C29" s="3" t="s">
        <v>76</v>
      </c>
      <c r="D29" s="3" t="s">
        <v>77</v>
      </c>
      <c r="E29" s="3" t="s">
        <v>78</v>
      </c>
      <c r="F29" s="5" t="s">
        <v>34</v>
      </c>
      <c r="G29" s="3" t="s">
        <v>35</v>
      </c>
      <c r="H29" s="5" t="s">
        <v>63</v>
      </c>
      <c r="I29" s="6" t="s">
        <v>37</v>
      </c>
      <c r="J29" s="3" t="s">
        <v>38</v>
      </c>
      <c r="K29" s="6" t="s">
        <v>80</v>
      </c>
      <c r="L29" s="7">
        <v>67000</v>
      </c>
      <c r="M29" s="3" t="s">
        <v>41</v>
      </c>
      <c r="N29" s="7">
        <v>4690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</row>
    <row r="30" spans="1:20" ht="15.75" x14ac:dyDescent="0.25">
      <c r="A30" s="3">
        <v>5</v>
      </c>
      <c r="B30" s="4" t="s">
        <v>75</v>
      </c>
      <c r="C30" s="3" t="s">
        <v>76</v>
      </c>
      <c r="D30" s="3" t="s">
        <v>77</v>
      </c>
      <c r="E30" s="3" t="s">
        <v>78</v>
      </c>
      <c r="F30" s="5" t="s">
        <v>34</v>
      </c>
      <c r="G30" s="3" t="s">
        <v>35</v>
      </c>
      <c r="H30" s="5" t="s">
        <v>65</v>
      </c>
      <c r="I30" s="6" t="s">
        <v>37</v>
      </c>
      <c r="J30" s="3" t="s">
        <v>38</v>
      </c>
      <c r="K30" s="6" t="s">
        <v>81</v>
      </c>
      <c r="L30" s="7">
        <v>4500</v>
      </c>
      <c r="M30" s="3" t="s">
        <v>41</v>
      </c>
      <c r="N30" s="7">
        <v>315</v>
      </c>
      <c r="O30" s="3" t="s">
        <v>33</v>
      </c>
      <c r="P30" s="3" t="s">
        <v>33</v>
      </c>
      <c r="Q30" s="3" t="s">
        <v>33</v>
      </c>
      <c r="R30" s="3" t="s">
        <v>33</v>
      </c>
      <c r="S30" s="3" t="s">
        <v>33</v>
      </c>
      <c r="T30" s="3" t="s">
        <v>33</v>
      </c>
    </row>
    <row r="31" spans="1:20" ht="16.5" thickBot="1" x14ac:dyDescent="0.3">
      <c r="A31" s="8">
        <v>5</v>
      </c>
      <c r="B31" s="9" t="s">
        <v>75</v>
      </c>
      <c r="C31" s="8" t="s">
        <v>76</v>
      </c>
      <c r="D31" s="8" t="s">
        <v>77</v>
      </c>
      <c r="E31" s="8" t="s">
        <v>78</v>
      </c>
      <c r="F31" s="10" t="s">
        <v>34</v>
      </c>
      <c r="G31" s="8" t="s">
        <v>35</v>
      </c>
      <c r="H31" s="10" t="s">
        <v>67</v>
      </c>
      <c r="I31" s="11" t="s">
        <v>37</v>
      </c>
      <c r="J31" s="8" t="s">
        <v>68</v>
      </c>
      <c r="K31" s="11" t="s">
        <v>82</v>
      </c>
      <c r="L31" s="12">
        <v>55650</v>
      </c>
      <c r="M31" s="8" t="s">
        <v>41</v>
      </c>
      <c r="N31" s="12">
        <v>3895.5</v>
      </c>
      <c r="O31" s="8" t="s">
        <v>33</v>
      </c>
      <c r="P31" s="8" t="s">
        <v>33</v>
      </c>
      <c r="Q31" s="8" t="s">
        <v>33</v>
      </c>
      <c r="R31" s="8" t="s">
        <v>33</v>
      </c>
      <c r="S31" s="8" t="s">
        <v>33</v>
      </c>
      <c r="T31" s="8" t="s">
        <v>33</v>
      </c>
    </row>
    <row r="32" spans="1:20" ht="15.75" x14ac:dyDescent="0.25">
      <c r="A32" s="13">
        <v>6</v>
      </c>
      <c r="B32" s="14" t="s">
        <v>83</v>
      </c>
      <c r="C32" s="13" t="s">
        <v>76</v>
      </c>
      <c r="D32" s="13" t="s">
        <v>77</v>
      </c>
      <c r="E32" s="13" t="s">
        <v>84</v>
      </c>
      <c r="F32" s="15" t="s">
        <v>34</v>
      </c>
      <c r="G32" s="13" t="s">
        <v>35</v>
      </c>
      <c r="H32" s="15" t="s">
        <v>60</v>
      </c>
      <c r="I32" s="16" t="s">
        <v>37</v>
      </c>
      <c r="J32" s="13" t="s">
        <v>61</v>
      </c>
      <c r="K32" s="16" t="s">
        <v>85</v>
      </c>
      <c r="L32" s="17">
        <v>64100</v>
      </c>
      <c r="M32" s="13" t="s">
        <v>41</v>
      </c>
      <c r="N32" s="17">
        <v>4487</v>
      </c>
      <c r="O32" s="13" t="s">
        <v>40</v>
      </c>
      <c r="P32" s="17">
        <v>117780</v>
      </c>
      <c r="Q32" s="17">
        <v>8244.6</v>
      </c>
      <c r="R32" s="17">
        <v>126024.6</v>
      </c>
      <c r="S32" s="17">
        <v>0</v>
      </c>
      <c r="T32" s="17">
        <v>126024.6</v>
      </c>
    </row>
    <row r="33" spans="1:20" ht="15.75" x14ac:dyDescent="0.25">
      <c r="A33" s="13">
        <v>6</v>
      </c>
      <c r="B33" s="14" t="s">
        <v>83</v>
      </c>
      <c r="C33" s="13" t="s">
        <v>76</v>
      </c>
      <c r="D33" s="13" t="s">
        <v>77</v>
      </c>
      <c r="E33" s="13" t="s">
        <v>84</v>
      </c>
      <c r="F33" s="15" t="s">
        <v>34</v>
      </c>
      <c r="G33" s="13" t="s">
        <v>35</v>
      </c>
      <c r="H33" s="15" t="s">
        <v>63</v>
      </c>
      <c r="I33" s="16" t="s">
        <v>37</v>
      </c>
      <c r="J33" s="13" t="s">
        <v>38</v>
      </c>
      <c r="K33" s="16" t="s">
        <v>86</v>
      </c>
      <c r="L33" s="17">
        <v>22000</v>
      </c>
      <c r="M33" s="13" t="s">
        <v>41</v>
      </c>
      <c r="N33" s="17">
        <v>1540</v>
      </c>
      <c r="O33" s="13" t="s">
        <v>33</v>
      </c>
      <c r="P33" s="13" t="s">
        <v>33</v>
      </c>
      <c r="Q33" s="13" t="s">
        <v>33</v>
      </c>
      <c r="R33" s="13" t="s">
        <v>33</v>
      </c>
      <c r="S33" s="13" t="s">
        <v>33</v>
      </c>
      <c r="T33" s="13" t="s">
        <v>33</v>
      </c>
    </row>
    <row r="34" spans="1:20" ht="15.75" x14ac:dyDescent="0.25">
      <c r="A34" s="13">
        <v>6</v>
      </c>
      <c r="B34" s="14" t="s">
        <v>83</v>
      </c>
      <c r="C34" s="13" t="s">
        <v>76</v>
      </c>
      <c r="D34" s="13" t="s">
        <v>77</v>
      </c>
      <c r="E34" s="13" t="s">
        <v>84</v>
      </c>
      <c r="F34" s="15" t="s">
        <v>34</v>
      </c>
      <c r="G34" s="13" t="s">
        <v>35</v>
      </c>
      <c r="H34" s="15" t="s">
        <v>65</v>
      </c>
      <c r="I34" s="16" t="s">
        <v>37</v>
      </c>
      <c r="J34" s="13" t="s">
        <v>38</v>
      </c>
      <c r="K34" s="16" t="s">
        <v>81</v>
      </c>
      <c r="L34" s="17">
        <v>4500</v>
      </c>
      <c r="M34" s="13" t="s">
        <v>41</v>
      </c>
      <c r="N34" s="17">
        <v>315</v>
      </c>
      <c r="O34" s="13" t="s">
        <v>33</v>
      </c>
      <c r="P34" s="13" t="s">
        <v>33</v>
      </c>
      <c r="Q34" s="13" t="s">
        <v>33</v>
      </c>
      <c r="R34" s="13" t="s">
        <v>33</v>
      </c>
      <c r="S34" s="13" t="s">
        <v>33</v>
      </c>
      <c r="T34" s="13" t="s">
        <v>33</v>
      </c>
    </row>
    <row r="35" spans="1:20" ht="16.5" thickBot="1" x14ac:dyDescent="0.3">
      <c r="A35" s="18">
        <v>6</v>
      </c>
      <c r="B35" s="19" t="s">
        <v>83</v>
      </c>
      <c r="C35" s="18" t="s">
        <v>76</v>
      </c>
      <c r="D35" s="18" t="s">
        <v>77</v>
      </c>
      <c r="E35" s="18" t="s">
        <v>84</v>
      </c>
      <c r="F35" s="20" t="s">
        <v>34</v>
      </c>
      <c r="G35" s="18" t="s">
        <v>35</v>
      </c>
      <c r="H35" s="20" t="s">
        <v>67</v>
      </c>
      <c r="I35" s="21" t="s">
        <v>37</v>
      </c>
      <c r="J35" s="18" t="s">
        <v>68</v>
      </c>
      <c r="K35" s="21" t="s">
        <v>87</v>
      </c>
      <c r="L35" s="22">
        <v>27180</v>
      </c>
      <c r="M35" s="18" t="s">
        <v>41</v>
      </c>
      <c r="N35" s="22">
        <v>1902.6</v>
      </c>
      <c r="O35" s="18" t="s">
        <v>33</v>
      </c>
      <c r="P35" s="18" t="s">
        <v>33</v>
      </c>
      <c r="Q35" s="18" t="s">
        <v>33</v>
      </c>
      <c r="R35" s="18" t="s">
        <v>33</v>
      </c>
      <c r="S35" s="18" t="s">
        <v>33</v>
      </c>
      <c r="T35" s="18" t="s">
        <v>33</v>
      </c>
    </row>
    <row r="36" spans="1:20" ht="15.75" x14ac:dyDescent="0.25">
      <c r="A36" s="3">
        <v>7</v>
      </c>
      <c r="B36" s="4" t="s">
        <v>88</v>
      </c>
      <c r="C36" s="3" t="s">
        <v>89</v>
      </c>
      <c r="D36" s="3" t="s">
        <v>90</v>
      </c>
      <c r="E36" s="3" t="s">
        <v>91</v>
      </c>
      <c r="F36" s="5" t="s">
        <v>34</v>
      </c>
      <c r="G36" s="3" t="s">
        <v>35</v>
      </c>
      <c r="H36" s="5" t="s">
        <v>54</v>
      </c>
      <c r="I36" s="6" t="s">
        <v>37</v>
      </c>
      <c r="J36" s="3" t="s">
        <v>38</v>
      </c>
      <c r="K36" s="6" t="s">
        <v>92</v>
      </c>
      <c r="L36" s="7">
        <v>1214051.3999999999</v>
      </c>
      <c r="M36" s="3" t="s">
        <v>41</v>
      </c>
      <c r="N36" s="7">
        <v>84983.6</v>
      </c>
      <c r="O36" s="3" t="s">
        <v>40</v>
      </c>
      <c r="P36" s="7">
        <v>1304051.3999999999</v>
      </c>
      <c r="Q36" s="7">
        <v>91283.6</v>
      </c>
      <c r="R36" s="7">
        <v>1395335</v>
      </c>
      <c r="S36" s="7">
        <v>39121.54</v>
      </c>
      <c r="T36" s="7">
        <v>1356213.46</v>
      </c>
    </row>
    <row r="37" spans="1:20" ht="16.5" thickBot="1" x14ac:dyDescent="0.3">
      <c r="A37" s="8">
        <v>7</v>
      </c>
      <c r="B37" s="9" t="s">
        <v>88</v>
      </c>
      <c r="C37" s="8" t="s">
        <v>89</v>
      </c>
      <c r="D37" s="8" t="s">
        <v>90</v>
      </c>
      <c r="E37" s="8" t="s">
        <v>91</v>
      </c>
      <c r="F37" s="10" t="s">
        <v>34</v>
      </c>
      <c r="G37" s="8" t="s">
        <v>35</v>
      </c>
      <c r="H37" s="10" t="s">
        <v>56</v>
      </c>
      <c r="I37" s="11" t="s">
        <v>37</v>
      </c>
      <c r="J37" s="8" t="s">
        <v>38</v>
      </c>
      <c r="K37" s="11" t="s">
        <v>93</v>
      </c>
      <c r="L37" s="12">
        <v>90000</v>
      </c>
      <c r="M37" s="8" t="s">
        <v>41</v>
      </c>
      <c r="N37" s="12">
        <v>6300</v>
      </c>
      <c r="O37" s="8" t="s">
        <v>33</v>
      </c>
      <c r="P37" s="8" t="s">
        <v>33</v>
      </c>
      <c r="Q37" s="8" t="s">
        <v>33</v>
      </c>
      <c r="R37" s="8" t="s">
        <v>33</v>
      </c>
      <c r="S37" s="8" t="s">
        <v>33</v>
      </c>
      <c r="T37" s="8" t="s">
        <v>33</v>
      </c>
    </row>
    <row r="38" spans="1:20" ht="15.75" x14ac:dyDescent="0.25">
      <c r="A38" s="13">
        <v>8</v>
      </c>
      <c r="B38" s="14" t="s">
        <v>94</v>
      </c>
      <c r="C38" s="13" t="s">
        <v>95</v>
      </c>
      <c r="D38" s="13" t="s">
        <v>96</v>
      </c>
      <c r="E38" s="13" t="s">
        <v>97</v>
      </c>
      <c r="F38" s="15" t="s">
        <v>98</v>
      </c>
      <c r="G38" s="13" t="s">
        <v>99</v>
      </c>
      <c r="H38" s="15" t="s">
        <v>100</v>
      </c>
      <c r="I38" s="16" t="s">
        <v>101</v>
      </c>
      <c r="J38" s="13" t="s">
        <v>61</v>
      </c>
      <c r="K38" s="16" t="s">
        <v>102</v>
      </c>
      <c r="L38" s="17">
        <v>306157.59999999998</v>
      </c>
      <c r="M38" s="13" t="s">
        <v>41</v>
      </c>
      <c r="N38" s="17">
        <v>21431.03</v>
      </c>
      <c r="O38" s="13" t="s">
        <v>103</v>
      </c>
      <c r="P38" s="17">
        <v>1418240</v>
      </c>
      <c r="Q38" s="17">
        <v>99276.800000000003</v>
      </c>
      <c r="R38" s="17">
        <v>1517516.8</v>
      </c>
      <c r="S38" s="17">
        <v>0</v>
      </c>
      <c r="T38" s="17">
        <v>1517516.8</v>
      </c>
    </row>
    <row r="39" spans="1:20" ht="15.75" x14ac:dyDescent="0.25">
      <c r="A39" s="13">
        <v>8</v>
      </c>
      <c r="B39" s="14" t="s">
        <v>94</v>
      </c>
      <c r="C39" s="13" t="s">
        <v>95</v>
      </c>
      <c r="D39" s="13" t="s">
        <v>96</v>
      </c>
      <c r="E39" s="13" t="s">
        <v>97</v>
      </c>
      <c r="F39" s="15" t="s">
        <v>98</v>
      </c>
      <c r="G39" s="13" t="s">
        <v>99</v>
      </c>
      <c r="H39" s="15" t="s">
        <v>104</v>
      </c>
      <c r="I39" s="16" t="s">
        <v>101</v>
      </c>
      <c r="J39" s="13" t="s">
        <v>61</v>
      </c>
      <c r="K39" s="16" t="s">
        <v>105</v>
      </c>
      <c r="L39" s="17">
        <v>260086</v>
      </c>
      <c r="M39" s="13" t="s">
        <v>41</v>
      </c>
      <c r="N39" s="17">
        <v>18206.02</v>
      </c>
      <c r="O39" s="13" t="s">
        <v>33</v>
      </c>
      <c r="P39" s="13" t="s">
        <v>33</v>
      </c>
      <c r="Q39" s="13" t="s">
        <v>33</v>
      </c>
      <c r="R39" s="13" t="s">
        <v>33</v>
      </c>
      <c r="S39" s="13" t="s">
        <v>33</v>
      </c>
      <c r="T39" s="13" t="s">
        <v>33</v>
      </c>
    </row>
    <row r="40" spans="1:20" ht="15.75" x14ac:dyDescent="0.25">
      <c r="A40" s="13">
        <v>8</v>
      </c>
      <c r="B40" s="14" t="s">
        <v>94</v>
      </c>
      <c r="C40" s="13" t="s">
        <v>95</v>
      </c>
      <c r="D40" s="13" t="s">
        <v>96</v>
      </c>
      <c r="E40" s="13" t="s">
        <v>97</v>
      </c>
      <c r="F40" s="15" t="s">
        <v>98</v>
      </c>
      <c r="G40" s="13" t="s">
        <v>99</v>
      </c>
      <c r="H40" s="15" t="s">
        <v>106</v>
      </c>
      <c r="I40" s="16" t="s">
        <v>101</v>
      </c>
      <c r="J40" s="13" t="s">
        <v>61</v>
      </c>
      <c r="K40" s="16" t="s">
        <v>107</v>
      </c>
      <c r="L40" s="17">
        <v>276156.40000000002</v>
      </c>
      <c r="M40" s="13" t="s">
        <v>41</v>
      </c>
      <c r="N40" s="17">
        <v>19330.95</v>
      </c>
      <c r="O40" s="13" t="s">
        <v>33</v>
      </c>
      <c r="P40" s="13" t="s">
        <v>33</v>
      </c>
      <c r="Q40" s="13" t="s">
        <v>33</v>
      </c>
      <c r="R40" s="13" t="s">
        <v>33</v>
      </c>
      <c r="S40" s="13" t="s">
        <v>33</v>
      </c>
      <c r="T40" s="13" t="s">
        <v>33</v>
      </c>
    </row>
    <row r="41" spans="1:20" ht="15.75" x14ac:dyDescent="0.25">
      <c r="A41" s="13">
        <v>8</v>
      </c>
      <c r="B41" s="14" t="s">
        <v>94</v>
      </c>
      <c r="C41" s="13" t="s">
        <v>95</v>
      </c>
      <c r="D41" s="13" t="s">
        <v>96</v>
      </c>
      <c r="E41" s="13" t="s">
        <v>97</v>
      </c>
      <c r="F41" s="15" t="s">
        <v>98</v>
      </c>
      <c r="G41" s="13" t="s">
        <v>99</v>
      </c>
      <c r="H41" s="15" t="s">
        <v>108</v>
      </c>
      <c r="I41" s="16" t="s">
        <v>101</v>
      </c>
      <c r="J41" s="13" t="s">
        <v>61</v>
      </c>
      <c r="K41" s="16" t="s">
        <v>109</v>
      </c>
      <c r="L41" s="17">
        <v>124800</v>
      </c>
      <c r="M41" s="13" t="s">
        <v>41</v>
      </c>
      <c r="N41" s="17">
        <v>8736</v>
      </c>
      <c r="O41" s="13" t="s">
        <v>33</v>
      </c>
      <c r="P41" s="13" t="s">
        <v>33</v>
      </c>
      <c r="Q41" s="13" t="s">
        <v>33</v>
      </c>
      <c r="R41" s="13" t="s">
        <v>33</v>
      </c>
      <c r="S41" s="13" t="s">
        <v>33</v>
      </c>
      <c r="T41" s="13" t="s">
        <v>33</v>
      </c>
    </row>
    <row r="42" spans="1:20" ht="15.75" x14ac:dyDescent="0.25">
      <c r="A42" s="13">
        <v>8</v>
      </c>
      <c r="B42" s="14" t="s">
        <v>94</v>
      </c>
      <c r="C42" s="13" t="s">
        <v>95</v>
      </c>
      <c r="D42" s="13" t="s">
        <v>96</v>
      </c>
      <c r="E42" s="13" t="s">
        <v>97</v>
      </c>
      <c r="F42" s="15" t="s">
        <v>98</v>
      </c>
      <c r="G42" s="13" t="s">
        <v>99</v>
      </c>
      <c r="H42" s="15" t="s">
        <v>63</v>
      </c>
      <c r="I42" s="16" t="s">
        <v>101</v>
      </c>
      <c r="J42" s="13" t="s">
        <v>38</v>
      </c>
      <c r="K42" s="16" t="s">
        <v>110</v>
      </c>
      <c r="L42" s="17">
        <v>230000</v>
      </c>
      <c r="M42" s="13" t="s">
        <v>41</v>
      </c>
      <c r="N42" s="17">
        <v>16100</v>
      </c>
      <c r="O42" s="13" t="s">
        <v>33</v>
      </c>
      <c r="P42" s="13" t="s">
        <v>33</v>
      </c>
      <c r="Q42" s="13" t="s">
        <v>33</v>
      </c>
      <c r="R42" s="13" t="s">
        <v>33</v>
      </c>
      <c r="S42" s="13" t="s">
        <v>33</v>
      </c>
      <c r="T42" s="13" t="s">
        <v>33</v>
      </c>
    </row>
    <row r="43" spans="1:20" ht="15.75" x14ac:dyDescent="0.25">
      <c r="A43" s="13">
        <v>8</v>
      </c>
      <c r="B43" s="14" t="s">
        <v>94</v>
      </c>
      <c r="C43" s="13" t="s">
        <v>95</v>
      </c>
      <c r="D43" s="13" t="s">
        <v>96</v>
      </c>
      <c r="E43" s="13" t="s">
        <v>97</v>
      </c>
      <c r="F43" s="15" t="s">
        <v>98</v>
      </c>
      <c r="G43" s="13" t="s">
        <v>99</v>
      </c>
      <c r="H43" s="15" t="s">
        <v>65</v>
      </c>
      <c r="I43" s="16" t="s">
        <v>101</v>
      </c>
      <c r="J43" s="13" t="s">
        <v>38</v>
      </c>
      <c r="K43" s="16" t="s">
        <v>111</v>
      </c>
      <c r="L43" s="17">
        <v>18000</v>
      </c>
      <c r="M43" s="13" t="s">
        <v>41</v>
      </c>
      <c r="N43" s="17">
        <v>1260</v>
      </c>
      <c r="O43" s="13" t="s">
        <v>33</v>
      </c>
      <c r="P43" s="13" t="s">
        <v>33</v>
      </c>
      <c r="Q43" s="13" t="s">
        <v>33</v>
      </c>
      <c r="R43" s="13" t="s">
        <v>33</v>
      </c>
      <c r="S43" s="13" t="s">
        <v>33</v>
      </c>
      <c r="T43" s="13" t="s">
        <v>33</v>
      </c>
    </row>
    <row r="44" spans="1:20" ht="16.5" thickBot="1" x14ac:dyDescent="0.3">
      <c r="A44" s="8">
        <v>8</v>
      </c>
      <c r="B44" s="9" t="s">
        <v>94</v>
      </c>
      <c r="C44" s="8" t="s">
        <v>95</v>
      </c>
      <c r="D44" s="8" t="s">
        <v>96</v>
      </c>
      <c r="E44" s="8" t="s">
        <v>97</v>
      </c>
      <c r="F44" s="10" t="s">
        <v>98</v>
      </c>
      <c r="G44" s="8" t="s">
        <v>99</v>
      </c>
      <c r="H44" s="10" t="s">
        <v>112</v>
      </c>
      <c r="I44" s="11" t="s">
        <v>101</v>
      </c>
      <c r="J44" s="8" t="s">
        <v>38</v>
      </c>
      <c r="K44" s="11" t="s">
        <v>113</v>
      </c>
      <c r="L44" s="12">
        <v>243040</v>
      </c>
      <c r="M44" s="8" t="s">
        <v>41</v>
      </c>
      <c r="N44" s="12">
        <v>17012.8</v>
      </c>
      <c r="O44" s="8" t="s">
        <v>33</v>
      </c>
      <c r="P44" s="8" t="s">
        <v>33</v>
      </c>
      <c r="Q44" s="8" t="s">
        <v>33</v>
      </c>
      <c r="R44" s="8" t="s">
        <v>33</v>
      </c>
      <c r="S44" s="8" t="s">
        <v>33</v>
      </c>
      <c r="T44" s="8" t="s">
        <v>33</v>
      </c>
    </row>
    <row r="45" spans="1:20" ht="16.5" thickBot="1" x14ac:dyDescent="0.3">
      <c r="O45" s="23" t="s">
        <v>114</v>
      </c>
      <c r="P45" s="26">
        <f t="shared" ref="P45:T45" si="0">SUM(P13:P44)</f>
        <v>6187918.4900000002</v>
      </c>
      <c r="Q45" s="26">
        <f t="shared" si="0"/>
        <v>433154.29</v>
      </c>
      <c r="R45" s="26">
        <f t="shared" si="0"/>
        <v>6621072.7800000003</v>
      </c>
      <c r="S45" s="26">
        <f t="shared" si="0"/>
        <v>39121.54</v>
      </c>
      <c r="T45" s="26">
        <f t="shared" si="0"/>
        <v>6581951.2400000002</v>
      </c>
    </row>
  </sheetData>
  <mergeCells count="4">
    <mergeCell ref="A11:E11"/>
    <mergeCell ref="F11:G11"/>
    <mergeCell ref="H11:N11"/>
    <mergeCell ref="O11:T11"/>
  </mergeCells>
  <hyperlinks>
    <hyperlink ref="B13" r:id="rId1" xr:uid="{00000000-0004-0000-0000-000000000000}"/>
    <hyperlink ref="B14" r:id="rId2" xr:uid="{00000000-0004-0000-0000-000002000000}"/>
    <hyperlink ref="B15" r:id="rId3" xr:uid="{00000000-0004-0000-0000-000004000000}"/>
    <hyperlink ref="B16" r:id="rId4" xr:uid="{00000000-0004-0000-0000-000006000000}"/>
    <hyperlink ref="B17" r:id="rId5" xr:uid="{00000000-0004-0000-0000-000008000000}"/>
    <hyperlink ref="B18" r:id="rId6" xr:uid="{00000000-0004-0000-0000-00000A000000}"/>
    <hyperlink ref="B19" r:id="rId7" xr:uid="{00000000-0004-0000-0000-00000C000000}"/>
    <hyperlink ref="B20" r:id="rId8" xr:uid="{00000000-0004-0000-0000-00000E000000}"/>
    <hyperlink ref="B21" r:id="rId9" xr:uid="{00000000-0004-0000-0000-000010000000}"/>
    <hyperlink ref="B22" r:id="rId10" xr:uid="{00000000-0004-0000-0000-000012000000}"/>
    <hyperlink ref="B23" r:id="rId11" xr:uid="{00000000-0004-0000-0000-000014000000}"/>
    <hyperlink ref="B24" r:id="rId12" xr:uid="{00000000-0004-0000-0000-000016000000}"/>
    <hyperlink ref="B25" r:id="rId13" xr:uid="{00000000-0004-0000-0000-000018000000}"/>
    <hyperlink ref="B26" r:id="rId14" xr:uid="{00000000-0004-0000-0000-00001A000000}"/>
    <hyperlink ref="B27" r:id="rId15" xr:uid="{00000000-0004-0000-0000-00001C000000}"/>
    <hyperlink ref="B28" r:id="rId16" xr:uid="{00000000-0004-0000-0000-00001E000000}"/>
    <hyperlink ref="B29" r:id="rId17" xr:uid="{00000000-0004-0000-0000-000020000000}"/>
    <hyperlink ref="B30" r:id="rId18" xr:uid="{00000000-0004-0000-0000-000022000000}"/>
    <hyperlink ref="B31" r:id="rId19" xr:uid="{00000000-0004-0000-0000-000024000000}"/>
    <hyperlink ref="B32" r:id="rId20" xr:uid="{00000000-0004-0000-0000-000026000000}"/>
    <hyperlink ref="B33" r:id="rId21" xr:uid="{00000000-0004-0000-0000-000028000000}"/>
    <hyperlink ref="B34" r:id="rId22" xr:uid="{00000000-0004-0000-0000-00002A000000}"/>
    <hyperlink ref="B35" r:id="rId23" xr:uid="{00000000-0004-0000-0000-00002C000000}"/>
    <hyperlink ref="B36" r:id="rId24" xr:uid="{00000000-0004-0000-0000-00002E000000}"/>
    <hyperlink ref="B37" r:id="rId25" xr:uid="{00000000-0004-0000-0000-000030000000}"/>
    <hyperlink ref="B38" r:id="rId26" xr:uid="{00000000-0004-0000-0000-000032000000}"/>
    <hyperlink ref="B39" r:id="rId27" xr:uid="{00000000-0004-0000-0000-000034000000}"/>
    <hyperlink ref="B40" r:id="rId28" xr:uid="{00000000-0004-0000-0000-000036000000}"/>
    <hyperlink ref="B41" r:id="rId29" xr:uid="{00000000-0004-0000-0000-000038000000}"/>
    <hyperlink ref="B42" r:id="rId30" xr:uid="{00000000-0004-0000-0000-00003A000000}"/>
    <hyperlink ref="B43" r:id="rId31" xr:uid="{00000000-0004-0000-0000-00003C000000}"/>
    <hyperlink ref="B44" r:id="rId32" xr:uid="{00000000-0004-0000-0000-00003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รายงานใบแจ้งหนี้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JEERAWAT</dc:creator>
  <cp:lastModifiedBy>jeerawat prechanurak</cp:lastModifiedBy>
  <dcterms:created xsi:type="dcterms:W3CDTF">2026-08-30T14:48:01Z</dcterms:created>
  <dcterms:modified xsi:type="dcterms:W3CDTF">2026-08-30T14:48:01Z</dcterms:modified>
</cp:coreProperties>
</file>